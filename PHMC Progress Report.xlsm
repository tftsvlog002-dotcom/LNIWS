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SI-PROJECTS\PHMC\"/>
    </mc:Choice>
  </mc:AlternateContent>
  <xr:revisionPtr revIDLastSave="0" documentId="13_ncr:1_{70F66D6A-66AE-4EEA-9E97-F610E663D906}" xr6:coauthVersionLast="47" xr6:coauthVersionMax="47" xr10:uidLastSave="{00000000-0000-0000-0000-000000000000}"/>
  <bookViews>
    <workbookView xWindow="-108" yWindow="-108" windowWidth="23256" windowHeight="12576" activeTab="1" xr2:uid="{44310AF5-015C-4D64-AA1D-34930292AEEC}"/>
  </bookViews>
  <sheets>
    <sheet name="Summary &amp; Overview" sheetId="1" r:id="rId1"/>
    <sheet name="Firewall" sheetId="2" r:id="rId2"/>
    <sheet name="Telephone" sheetId="3" r:id="rId3"/>
    <sheet name="Bizbox" sheetId="4" r:id="rId4"/>
    <sheet name="Data" sheetId="5" r:id="rId5"/>
    <sheet name="CCTV" sheetId="6" r:id="rId6"/>
    <sheet name="Wifi" sheetId="7" r:id="rId7"/>
    <sheet name="Nurse Call" sheetId="10" r:id="rId8"/>
    <sheet name="CATV" sheetId="9" r:id="rId9"/>
    <sheet name="FDAS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<sst xmlns="http://schemas.openxmlformats.org/spreadsheetml/2006/main" count="238" uniqueCount="146">
  <si>
    <t>Summary:</t>
  </si>
  <si>
    <t>Firewall</t>
  </si>
  <si>
    <t>Telephone</t>
  </si>
  <si>
    <t>Bizbox</t>
  </si>
  <si>
    <t>Data</t>
  </si>
  <si>
    <t>CCTV</t>
  </si>
  <si>
    <t>Wifi</t>
  </si>
  <si>
    <t>FDAS</t>
  </si>
  <si>
    <t>CATV</t>
  </si>
  <si>
    <t>Configuration</t>
  </si>
  <si>
    <t>Patching</t>
  </si>
  <si>
    <t xml:space="preserve">Piping </t>
  </si>
  <si>
    <t>Activities:</t>
  </si>
  <si>
    <t>W/Cable</t>
  </si>
  <si>
    <t>W/io</t>
  </si>
  <si>
    <t>Floor</t>
  </si>
  <si>
    <t>Install Conduit</t>
  </si>
  <si>
    <t>Testing/Status</t>
  </si>
  <si>
    <t>Wifi Deployed</t>
  </si>
  <si>
    <t>Smoke Detectors</t>
  </si>
  <si>
    <t>Smoke Detectors Deployed</t>
  </si>
  <si>
    <t>FIREWALL</t>
  </si>
  <si>
    <t>BIZBOX</t>
  </si>
  <si>
    <t>DATA</t>
  </si>
  <si>
    <t>WIFI</t>
  </si>
  <si>
    <t>NURSE CALL</t>
  </si>
  <si>
    <t>WIREWAY</t>
  </si>
  <si>
    <t>No.Nodes</t>
  </si>
  <si>
    <t>LOCATIONS</t>
  </si>
  <si>
    <t>FLOOR 1 Nodes</t>
  </si>
  <si>
    <t>F1-Data1</t>
  </si>
  <si>
    <t>F1-Data2</t>
  </si>
  <si>
    <t>F1-Data3</t>
  </si>
  <si>
    <t>F1-Data4</t>
  </si>
  <si>
    <t>F1-CCTV1</t>
  </si>
  <si>
    <t>F1-CCTV2</t>
  </si>
  <si>
    <t>FLOOR 9 Nodes</t>
  </si>
  <si>
    <t>F9-Data1</t>
  </si>
  <si>
    <t>F9-Data2</t>
  </si>
  <si>
    <t>F9-Data3</t>
  </si>
  <si>
    <t>F9-Data4</t>
  </si>
  <si>
    <t>F9-Data5</t>
  </si>
  <si>
    <t>F9-Data6</t>
  </si>
  <si>
    <t>F9-Data7</t>
  </si>
  <si>
    <t>F9-Data8</t>
  </si>
  <si>
    <t>FLOOR 3 Nodes</t>
  </si>
  <si>
    <t>F3-CCTV1</t>
  </si>
  <si>
    <t>F3-CCTV2</t>
  </si>
  <si>
    <t>F3-CCTV3</t>
  </si>
  <si>
    <t>F3-CCTV4</t>
  </si>
  <si>
    <t>F3-CCTV5</t>
  </si>
  <si>
    <t>F3-CCTV6</t>
  </si>
  <si>
    <t>F1-Nurse Call1</t>
  </si>
  <si>
    <t>F1-Nurse Call2</t>
  </si>
  <si>
    <t>Accounting</t>
  </si>
  <si>
    <t>Terminated</t>
  </si>
  <si>
    <t>Testing</t>
  </si>
  <si>
    <t xml:space="preserve">Cable Pulling </t>
  </si>
  <si>
    <t>CCTV Installed</t>
  </si>
  <si>
    <t>Location</t>
  </si>
  <si>
    <t>Configurations</t>
  </si>
  <si>
    <t>Mounting</t>
  </si>
  <si>
    <t>Status</t>
  </si>
  <si>
    <t>Nurse Call Deployed</t>
  </si>
  <si>
    <t>Wiring</t>
  </si>
  <si>
    <t>C/O Termination</t>
  </si>
  <si>
    <t>CATV Deployed</t>
  </si>
  <si>
    <t xml:space="preserve">Cable Gromming </t>
  </si>
  <si>
    <t>Location: CAVITE</t>
  </si>
  <si>
    <t>FLOOR 6 Nodes</t>
  </si>
  <si>
    <t>F6-Firewall1</t>
  </si>
  <si>
    <t>Server Room</t>
  </si>
  <si>
    <t>F1-IP Phone1</t>
  </si>
  <si>
    <t>F1-IP Phone2</t>
  </si>
  <si>
    <t>F1-IP Phone3</t>
  </si>
  <si>
    <t>F1-IP Phone4</t>
  </si>
  <si>
    <t>F1-IP Phone5</t>
  </si>
  <si>
    <t>F1-IP Phone6</t>
  </si>
  <si>
    <t>F1-IP Phone7</t>
  </si>
  <si>
    <t>F1-IP Phone8</t>
  </si>
  <si>
    <t>F1-IP Phone9</t>
  </si>
  <si>
    <t>F1-IP Phone10</t>
  </si>
  <si>
    <t>F1-IP Phone11</t>
  </si>
  <si>
    <t>F1-IP Phone12</t>
  </si>
  <si>
    <t>F1-IP Phone13</t>
  </si>
  <si>
    <t>F1-IP Phone14</t>
  </si>
  <si>
    <t>F1-IP Phone15</t>
  </si>
  <si>
    <t>F1-IP Phone16</t>
  </si>
  <si>
    <t>F1-IP Phone17</t>
  </si>
  <si>
    <t>F1-IP Phone18</t>
  </si>
  <si>
    <t>F1-IP Phone19</t>
  </si>
  <si>
    <t>F1-IP Phone20</t>
  </si>
  <si>
    <t>FLOOR 2 Nodes</t>
  </si>
  <si>
    <t>F2-IP Phone1</t>
  </si>
  <si>
    <t>F2-IP Phone2</t>
  </si>
  <si>
    <t>Not Running</t>
  </si>
  <si>
    <t>Running</t>
  </si>
  <si>
    <t>No</t>
  </si>
  <si>
    <t>Configured</t>
  </si>
  <si>
    <t>F6-Bizbox1</t>
  </si>
  <si>
    <t>fNumber  Nodes</t>
  </si>
  <si>
    <t>Deployed IP Phones</t>
  </si>
  <si>
    <t>F1-Wifi1</t>
  </si>
  <si>
    <t>F1-Wifi2</t>
  </si>
  <si>
    <t>F1-Wifi3</t>
  </si>
  <si>
    <t>F1-Wifi4</t>
  </si>
  <si>
    <t>F1-Wifi5</t>
  </si>
  <si>
    <t>F1-Wifi6</t>
  </si>
  <si>
    <t>F1-Wifi7</t>
  </si>
  <si>
    <t>F1-Wifi8</t>
  </si>
  <si>
    <t>F1-Wifi9</t>
  </si>
  <si>
    <t>F1-Wifi10</t>
  </si>
  <si>
    <t>F2-Wifi1</t>
  </si>
  <si>
    <t>F2-Wifi2</t>
  </si>
  <si>
    <t>F2-Wifi3</t>
  </si>
  <si>
    <t>F2-Wifi4</t>
  </si>
  <si>
    <t>F2-Wifi5</t>
  </si>
  <si>
    <t>F3-Wifi1</t>
  </si>
  <si>
    <t>F3-Wifi2</t>
  </si>
  <si>
    <t>F3-Wifi3</t>
  </si>
  <si>
    <t>F3-Wifi4</t>
  </si>
  <si>
    <t>F3-Wifi5</t>
  </si>
  <si>
    <t>FLOOR 4 Nodes</t>
  </si>
  <si>
    <t>F4-Wifi1</t>
  </si>
  <si>
    <t>F4-Wifi2</t>
  </si>
  <si>
    <t>F4-Wifi3</t>
  </si>
  <si>
    <t>F4-Wifi4</t>
  </si>
  <si>
    <t>F4-Wifi5</t>
  </si>
  <si>
    <t>Mounted</t>
  </si>
  <si>
    <t>F1-CATV1</t>
  </si>
  <si>
    <t>F1-CATV2</t>
  </si>
  <si>
    <t>F1-CATV3</t>
  </si>
  <si>
    <t>F1-CATV4</t>
  </si>
  <si>
    <t>F1-CATV5</t>
  </si>
  <si>
    <t>Locations</t>
  </si>
  <si>
    <t>FLOOR 1</t>
  </si>
  <si>
    <t>FLOOR 2</t>
  </si>
  <si>
    <t>F2-Nurse Call1</t>
  </si>
  <si>
    <t>F2-Nurse Call2</t>
  </si>
  <si>
    <t>F2-Nurse Call3</t>
  </si>
  <si>
    <t>FLOOR 3</t>
  </si>
  <si>
    <t>F3-IP Phone1</t>
  </si>
  <si>
    <t>F3-IP Phone2</t>
  </si>
  <si>
    <t>F3-IP Phone3</t>
  </si>
  <si>
    <t>Project Name: PRIME HOSPITAL AND MEDICAL CENTER</t>
  </si>
  <si>
    <t>PASIG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</si>
</sst>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EE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1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5" fillId="0" borderId="0" xfId="0" applyFont="1"/>
    <xf numFmtId="0" fontId="2" fillId="2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9" fontId="2" fillId="3" borderId="0" xfId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28575</xdr:rowOff>
    </xdr:from>
    <xdr:to>
      <xdr:col>6</xdr:col>
      <xdr:colOff>552450</xdr:colOff>
      <xdr:row>6</xdr:row>
      <xdr:rowOff>6477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A1F51031-E5F4-6677-FD65-3841468C8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219075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276225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504858B4-04FE-40BD-958A-BB14F2F57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361950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DFE081A6-DB50-4010-8206-D1323BAD3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250" y="190500"/>
          <a:ext cx="42164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685800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1A43D31C-2C6E-4AC1-BF0A-D0CF81BB0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361950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00B683CA-CC5D-4F0C-BC99-5CA656F85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447675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6AC48590-B54D-4132-9851-7ED98C8247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533400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55DC6C9E-E9DB-46F4-8AB5-FB0865FA2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</xdr:col>
      <xdr:colOff>904461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7A2D5633-E57A-4731-BAB1-203D3F009B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95250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C52EC882-7C3B-4E56-8418-17D5265F5F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</xdr:col>
      <xdr:colOff>466725</xdr:colOff>
      <xdr:row>5</xdr:row>
      <xdr:rowOff>168402</xdr:rowOff>
    </xdr:to>
    <xdr:pic>
      <xdr:nvPicPr>
        <xdr:cNvPr id="2" name="Picture 1" descr="Dynamic Link Solutions Inc. logo">
          <a:extLst>
            <a:ext uri="{FF2B5EF4-FFF2-40B4-BE49-F238E27FC236}">
              <a16:creationId xmlns:a16="http://schemas.microsoft.com/office/drawing/2014/main" id="{85686BA5-B27E-47F0-9B30-1171703E1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4229100" cy="930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7006C-8FC6-4787-9DF0-99F95F0FC42E}">
  <sheetPr codeName="Sheet1">
    <tabColor rgb="FF00B050"/>
  </sheetPr>
  <dimension ref="A9:D29"/>
  <sheetViews>
    <sheetView zoomScaleNormal="100" workbookViewId="0">
      <selection activeCell="F14" sqref="F14"/>
    </sheetView>
  </sheetViews>
  <sheetFormatPr defaultRowHeight="14.4" x14ac:dyDescent="0.3"/>
  <cols>
    <col min="3" max="3" width="19" bestFit="1" customWidth="1"/>
  </cols>
  <sheetData>
    <row r="9" spans="1:3" x14ac:dyDescent="0.3">
      <c r="B9" t="s">
        <v>144</v>
      </c>
    </row>
    <row r="10" spans="1:3" x14ac:dyDescent="0.3">
      <c r="B10" t="s">
        <v>68</v>
      </c>
      <c r="C10" t="s">
        <v>145</v>
      </c>
    </row>
    <row r="13" spans="1:3" x14ac:dyDescent="0.3">
      <c r="B13" t="s">
        <v>0</v>
      </c>
    </row>
    <row r="14" spans="1:3" x14ac:dyDescent="0.3">
      <c r="B14" t="s">
        <v>1</v>
      </c>
      <c r="C14" t="s">
        <v>9</v>
      </c>
    </row>
    <row r="15" spans="1:3" s="1" customFormat="1" x14ac:dyDescent="0.3">
      <c r="A15"/>
      <c r="B15"/>
    </row>
    <row r="16" spans="1:3" x14ac:dyDescent="0.3">
      <c r="B16" t="s">
        <v>2</v>
      </c>
      <c r="C16" t="s">
        <v>101</v>
      </c>
    </row>
    <row r="17" spans="1:4" s="1" customFormat="1" x14ac:dyDescent="0.3">
      <c r="A17"/>
      <c r="B17"/>
      <c r="C17" s="9">
        <f>IF(COUNTA(Telephone!L10:L1000)=0, "", COUNTIF(Telephone!L10:L1000, "Running") / COUNTA(Telephone!L10:L1000))</f>
        <v>0.17391304347826086</v>
      </c>
    </row>
    <row r="18" spans="1:4" x14ac:dyDescent="0.3">
      <c r="B18" t="s">
        <v>3</v>
      </c>
    </row>
    <row r="19" spans="1:4" s="1" customFormat="1" x14ac:dyDescent="0.3">
      <c r="A19"/>
      <c r="B19"/>
    </row>
    <row r="20" spans="1:4" x14ac:dyDescent="0.3">
      <c r="B20" t="s">
        <v>4</v>
      </c>
      <c r="C20" t="s">
        <v>10</v>
      </c>
      <c r="D20" t="s">
        <v>11</v>
      </c>
    </row>
    <row r="21" spans="1:4" s="1" customFormat="1" x14ac:dyDescent="0.3">
      <c r="A21"/>
      <c r="B21"/>
    </row>
    <row r="22" spans="1:4" x14ac:dyDescent="0.3">
      <c r="B22" t="s">
        <v>5</v>
      </c>
    </row>
    <row r="23" spans="1:4" s="1" customFormat="1" x14ac:dyDescent="0.3">
      <c r="A23"/>
      <c r="B23"/>
    </row>
    <row r="24" spans="1:4" x14ac:dyDescent="0.3">
      <c r="B24" t="s">
        <v>6</v>
      </c>
    </row>
    <row r="25" spans="1:4" s="1" customFormat="1" x14ac:dyDescent="0.3">
      <c r="A25"/>
      <c r="B25"/>
    </row>
    <row r="26" spans="1:4" x14ac:dyDescent="0.3">
      <c r="B26" t="s">
        <v>7</v>
      </c>
    </row>
    <row r="27" spans="1:4" s="1" customFormat="1" x14ac:dyDescent="0.3">
      <c r="A27"/>
      <c r="B27"/>
    </row>
    <row r="28" spans="1:4" x14ac:dyDescent="0.3">
      <c r="B28" t="s">
        <v>8</v>
      </c>
    </row>
    <row r="29" spans="1:4" s="1" customFormat="1" x14ac:dyDescent="0.3">
      <c r="A29"/>
      <c r="B2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9CB44-111C-43E4-AF81-7697A20DD757}">
  <sheetPr codeName="Sheet2"/>
  <dimension ref="B1:I11"/>
  <sheetViews>
    <sheetView tabSelected="1" workbookViewId="0">
      <selection activeCell="J11" sqref="J11"/>
    </sheetView>
  </sheetViews>
  <sheetFormatPr defaultRowHeight="14.4" x14ac:dyDescent="0.3"/>
  <cols>
    <col min="3" max="3" width="9.109375" style="2"/>
    <col min="4" max="4" width="14.5546875" bestFit="1" customWidth="1"/>
    <col min="5" max="5" width="12.33203125" bestFit="1" customWidth="1"/>
    <col min="6" max="6" width="14.109375" bestFit="1" customWidth="1"/>
    <col min="7" max="7" width="10.88671875" bestFit="1" customWidth="1"/>
  </cols>
  <sheetData>
    <row r="1" spans="2:9" x14ac:dyDescent="0.3">
      <c r="C1"/>
    </row>
    <row r="2" spans="2:9" x14ac:dyDescent="0.3">
      <c r="C2"/>
    </row>
    <row r="3" spans="2:9" x14ac:dyDescent="0.3">
      <c r="C3"/>
    </row>
    <row r="4" spans="2:9" x14ac:dyDescent="0.3">
      <c r="C4"/>
    </row>
    <row r="5" spans="2:9" x14ac:dyDescent="0.3">
      <c r="C5"/>
    </row>
    <row r="6" spans="2:9" x14ac:dyDescent="0.3">
      <c r="C6"/>
    </row>
    <row r="7" spans="2:9" x14ac:dyDescent="0.3">
      <c r="C7"/>
    </row>
    <row r="8" spans="2:9" x14ac:dyDescent="0.3">
      <c r="B8" t="s">
        <v>21</v>
      </c>
      <c r="C8"/>
    </row>
    <row r="9" spans="2:9" x14ac:dyDescent="0.3">
      <c r="B9" s="4" t="s">
        <v>12</v>
      </c>
      <c r="C9" s="4" t="s">
        <v>15</v>
      </c>
      <c r="D9" s="4" t="s">
        <v>27</v>
      </c>
      <c r="E9" s="4" t="s">
        <v>59</v>
      </c>
      <c r="F9" s="4" t="s">
        <v>60</v>
      </c>
      <c r="G9" s="4" t="s">
        <v>61</v>
      </c>
      <c r="H9" s="4" t="s">
        <v>56</v>
      </c>
      <c r="I9" s="4" t="s">
        <v>62</v>
      </c>
    </row>
    <row r="10" spans="2:9" x14ac:dyDescent="0.3">
      <c r="C10" s="2">
        <v>6</v>
      </c>
      <c r="D10" s="6" t="s">
        <v>69</v>
      </c>
    </row>
    <row r="11" spans="2:9" x14ac:dyDescent="0.3">
      <c r="D11" t="s">
        <v>70</v>
      </c>
      <c r="E11" t="s">
        <v>71</v>
      </c>
      <c r="F11" s="2" t="s">
        <v>98</v>
      </c>
      <c r="G11" s="2" t="s">
        <v>128</v>
      </c>
    </row>
  </sheetData>
  <dataValidations count="2">
    <dataValidation type="list" allowBlank="1" showInputMessage="1" showErrorMessage="1" sqref="F11" xr:uid="{06E74339-0DCA-4E06-889F-ED00712BB6D9}">
      <formula1>"Configured, Not Configured"</formula1>
    </dataValidation>
    <dataValidation type="list" allowBlank="1" showInputMessage="1" showErrorMessage="1" sqref="G11" xr:uid="{02691F59-5011-4B4C-BC0C-5687B9D4B2C0}">
      <formula1>"Mounted, Not Mounted"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7E288-F4B4-4810-8CFB-19AC82F3CD46}">
  <sheetPr codeName="Sheet3"/>
  <dimension ref="B1:L36"/>
  <sheetViews>
    <sheetView topLeftCell="A4" zoomScaleNormal="100" workbookViewId="0">
      <selection activeCell="L14" sqref="L14"/>
    </sheetView>
  </sheetViews>
  <sheetFormatPr defaultColWidth="9.109375" defaultRowHeight="14.4" x14ac:dyDescent="0.3"/>
  <cols>
    <col min="3" max="3" width="9.109375" style="2"/>
    <col min="4" max="4" width="14.5546875" style="2" bestFit="1" customWidth="1"/>
    <col min="5" max="5" width="11.109375" style="2" bestFit="1" customWidth="1"/>
    <col min="6" max="7" width="14" style="2" bestFit="1" customWidth="1"/>
    <col min="8" max="8" width="8.6640625" style="2" bestFit="1" customWidth="1"/>
    <col min="9" max="9" width="5.44140625" style="3" bestFit="1" customWidth="1"/>
    <col min="10" max="10" width="11.33203125" bestFit="1" customWidth="1"/>
    <col min="12" max="12" width="12" bestFit="1" customWidth="1"/>
  </cols>
  <sheetData>
    <row r="1" spans="2:12" x14ac:dyDescent="0.3">
      <c r="C1"/>
      <c r="D1"/>
      <c r="E1"/>
      <c r="F1"/>
      <c r="G1"/>
      <c r="H1"/>
      <c r="I1"/>
    </row>
    <row r="2" spans="2:12" x14ac:dyDescent="0.3">
      <c r="C2"/>
      <c r="D2"/>
      <c r="E2"/>
      <c r="F2"/>
      <c r="G2"/>
      <c r="H2"/>
      <c r="I2"/>
    </row>
    <row r="3" spans="2:12" x14ac:dyDescent="0.3">
      <c r="C3"/>
      <c r="D3"/>
      <c r="E3"/>
      <c r="F3"/>
      <c r="G3"/>
      <c r="H3"/>
      <c r="I3"/>
    </row>
    <row r="4" spans="2:12" x14ac:dyDescent="0.3">
      <c r="C4"/>
      <c r="D4"/>
      <c r="E4"/>
      <c r="F4"/>
      <c r="G4"/>
      <c r="H4"/>
      <c r="I4"/>
    </row>
    <row r="5" spans="2:12" x14ac:dyDescent="0.3">
      <c r="C5"/>
      <c r="D5"/>
      <c r="E5"/>
      <c r="F5"/>
      <c r="G5"/>
      <c r="H5"/>
      <c r="I5"/>
    </row>
    <row r="6" spans="2:12" x14ac:dyDescent="0.3">
      <c r="C6"/>
      <c r="D6"/>
      <c r="E6"/>
      <c r="F6"/>
      <c r="G6"/>
      <c r="H6"/>
      <c r="I6"/>
    </row>
    <row r="7" spans="2:12" x14ac:dyDescent="0.3">
      <c r="B7" t="s">
        <v>2</v>
      </c>
      <c r="C7"/>
      <c r="D7"/>
      <c r="E7"/>
      <c r="F7"/>
      <c r="G7"/>
      <c r="H7"/>
      <c r="I7"/>
    </row>
    <row r="8" spans="2:12" x14ac:dyDescent="0.3">
      <c r="B8" s="4" t="s">
        <v>12</v>
      </c>
      <c r="C8" s="4" t="s">
        <v>15</v>
      </c>
      <c r="D8" s="4" t="s">
        <v>27</v>
      </c>
      <c r="E8" s="4" t="s">
        <v>28</v>
      </c>
      <c r="F8" s="7" t="s">
        <v>60</v>
      </c>
      <c r="G8" s="4" t="s">
        <v>16</v>
      </c>
      <c r="H8" s="4" t="s">
        <v>13</v>
      </c>
      <c r="I8" s="4" t="s">
        <v>14</v>
      </c>
      <c r="J8" s="4" t="s">
        <v>55</v>
      </c>
      <c r="K8" s="4" t="s">
        <v>56</v>
      </c>
      <c r="L8" s="4" t="s">
        <v>62</v>
      </c>
    </row>
    <row r="9" spans="2:12" x14ac:dyDescent="0.3">
      <c r="C9" s="2">
        <v>1</v>
      </c>
      <c r="D9" s="8" t="s">
        <v>29</v>
      </c>
      <c r="J9" t="s">
        <v>97</v>
      </c>
    </row>
    <row r="10" spans="2:12" x14ac:dyDescent="0.3">
      <c r="D10" s="2" t="s">
        <v>72</v>
      </c>
      <c r="F10" s="2" t="s">
        <v>98</v>
      </c>
      <c r="J10" t="s">
        <v>97</v>
      </c>
      <c r="L10" t="s">
        <v>95</v>
      </c>
    </row>
    <row r="11" spans="2:12" x14ac:dyDescent="0.3">
      <c r="D11" s="2" t="s">
        <v>73</v>
      </c>
      <c r="L11" t="s">
        <v>95</v>
      </c>
    </row>
    <row r="12" spans="2:12" x14ac:dyDescent="0.3">
      <c r="D12" s="2" t="s">
        <v>74</v>
      </c>
      <c r="L12" t="s">
        <v>96</v>
      </c>
    </row>
    <row r="13" spans="2:12" x14ac:dyDescent="0.3">
      <c r="D13" s="2" t="s">
        <v>75</v>
      </c>
      <c r="L13" t="s">
        <v>95</v>
      </c>
    </row>
    <row r="14" spans="2:12" x14ac:dyDescent="0.3">
      <c r="D14" s="2" t="s">
        <v>76</v>
      </c>
      <c r="L14" t="s">
        <v>95</v>
      </c>
    </row>
    <row r="15" spans="2:12" x14ac:dyDescent="0.3">
      <c r="D15" s="2" t="s">
        <v>77</v>
      </c>
      <c r="L15" t="s">
        <v>95</v>
      </c>
    </row>
    <row r="16" spans="2:12" x14ac:dyDescent="0.3">
      <c r="D16" s="2" t="s">
        <v>78</v>
      </c>
      <c r="L16" t="s">
        <v>96</v>
      </c>
    </row>
    <row r="17" spans="3:12" x14ac:dyDescent="0.3">
      <c r="D17" s="2" t="s">
        <v>79</v>
      </c>
      <c r="L17" t="s">
        <v>96</v>
      </c>
    </row>
    <row r="18" spans="3:12" x14ac:dyDescent="0.3">
      <c r="D18" s="2" t="s">
        <v>80</v>
      </c>
      <c r="L18" t="s">
        <v>95</v>
      </c>
    </row>
    <row r="19" spans="3:12" x14ac:dyDescent="0.3">
      <c r="D19" s="2" t="s">
        <v>81</v>
      </c>
      <c r="L19" t="s">
        <v>95</v>
      </c>
    </row>
    <row r="20" spans="3:12" x14ac:dyDescent="0.3">
      <c r="D20" s="2" t="s">
        <v>82</v>
      </c>
      <c r="L20" t="s">
        <v>96</v>
      </c>
    </row>
    <row r="21" spans="3:12" x14ac:dyDescent="0.3">
      <c r="D21" s="2" t="s">
        <v>83</v>
      </c>
      <c r="L21" t="s">
        <v>95</v>
      </c>
    </row>
    <row r="22" spans="3:12" x14ac:dyDescent="0.3">
      <c r="D22" s="2" t="s">
        <v>84</v>
      </c>
      <c r="L22" t="s">
        <v>95</v>
      </c>
    </row>
    <row r="23" spans="3:12" x14ac:dyDescent="0.3">
      <c r="D23" s="2" t="s">
        <v>85</v>
      </c>
      <c r="L23" t="s">
        <v>95</v>
      </c>
    </row>
    <row r="24" spans="3:12" x14ac:dyDescent="0.3">
      <c r="D24" s="2" t="s">
        <v>86</v>
      </c>
      <c r="L24" t="s">
        <v>95</v>
      </c>
    </row>
    <row r="25" spans="3:12" x14ac:dyDescent="0.3">
      <c r="D25" s="2" t="s">
        <v>87</v>
      </c>
      <c r="L25" t="s">
        <v>95</v>
      </c>
    </row>
    <row r="26" spans="3:12" x14ac:dyDescent="0.3">
      <c r="D26" s="2" t="s">
        <v>88</v>
      </c>
      <c r="L26" t="s">
        <v>95</v>
      </c>
    </row>
    <row r="27" spans="3:12" x14ac:dyDescent="0.3">
      <c r="D27" s="2" t="s">
        <v>89</v>
      </c>
      <c r="L27" t="s">
        <v>95</v>
      </c>
    </row>
    <row r="28" spans="3:12" x14ac:dyDescent="0.3">
      <c r="D28" s="2" t="s">
        <v>90</v>
      </c>
      <c r="L28" t="s">
        <v>95</v>
      </c>
    </row>
    <row r="29" spans="3:12" x14ac:dyDescent="0.3">
      <c r="D29" s="2" t="s">
        <v>91</v>
      </c>
      <c r="L29" t="s">
        <v>95</v>
      </c>
    </row>
    <row r="30" spans="3:12" x14ac:dyDescent="0.3">
      <c r="C30" s="2">
        <v>2</v>
      </c>
      <c r="D30" s="8" t="s">
        <v>92</v>
      </c>
    </row>
    <row r="31" spans="3:12" x14ac:dyDescent="0.3">
      <c r="D31" s="2" t="s">
        <v>93</v>
      </c>
      <c r="L31" t="s">
        <v>95</v>
      </c>
    </row>
    <row r="32" spans="3:12" x14ac:dyDescent="0.3">
      <c r="D32" s="2" t="s">
        <v>94</v>
      </c>
      <c r="L32" t="s">
        <v>95</v>
      </c>
    </row>
    <row r="33" spans="3:12" x14ac:dyDescent="0.3">
      <c r="C33" s="2">
        <v>3</v>
      </c>
      <c r="D33" s="8" t="s">
        <v>140</v>
      </c>
      <c r="L33" t="s">
        <v>95</v>
      </c>
    </row>
    <row r="34" spans="3:12" x14ac:dyDescent="0.3">
      <c r="D34" s="2" t="s">
        <v>141</v>
      </c>
    </row>
    <row r="35" spans="3:12" x14ac:dyDescent="0.3">
      <c r="D35" s="2" t="s">
        <v>142</v>
      </c>
    </row>
    <row r="36" spans="3:12" x14ac:dyDescent="0.3">
      <c r="D36" s="2" t="s">
        <v>143</v>
      </c>
    </row>
  </sheetData>
  <dataValidations count="3">
    <dataValidation type="list" allowBlank="1" showInputMessage="1" showErrorMessage="1" sqref="L9:L1048576" xr:uid="{08D48048-5BDD-40CB-B5E7-71C3EE985CF8}">
      <formula1>"Running, Not Running"</formula1>
    </dataValidation>
    <dataValidation type="list" allowBlank="1" showInputMessage="1" showErrorMessage="1" sqref="J9:J1048576" xr:uid="{418FA636-0E98-4F94-83F3-DF3590396487}">
      <formula1>"Yes, No"</formula1>
    </dataValidation>
    <dataValidation type="list" allowBlank="1" showInputMessage="1" showErrorMessage="1" sqref="F9:F1048576" xr:uid="{C90E6EAD-3E84-4D76-9566-4076725EBA6F}">
      <formula1>"Configured, Not Configured"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9DC4A-1591-4EBE-9B03-7367ED3DB847}">
  <sheetPr codeName="Sheet4"/>
  <dimension ref="B8:J11"/>
  <sheetViews>
    <sheetView workbookViewId="0">
      <selection activeCell="C15" sqref="C15"/>
    </sheetView>
  </sheetViews>
  <sheetFormatPr defaultRowHeight="14.4" x14ac:dyDescent="0.3"/>
  <cols>
    <col min="2" max="2" width="10.5546875" bestFit="1" customWidth="1"/>
    <col min="3" max="3" width="5.5546875" bestFit="1" customWidth="1"/>
    <col min="4" max="4" width="14.5546875" bestFit="1" customWidth="1"/>
    <col min="5" max="5" width="8.44140625" bestFit="1" customWidth="1"/>
    <col min="6" max="6" width="14" bestFit="1" customWidth="1"/>
    <col min="7" max="7" width="14.109375" bestFit="1" customWidth="1"/>
    <col min="9" max="9" width="13.88671875" bestFit="1" customWidth="1"/>
  </cols>
  <sheetData>
    <row r="8" spans="2:10" x14ac:dyDescent="0.3">
      <c r="B8" t="s">
        <v>22</v>
      </c>
    </row>
    <row r="9" spans="2:10" x14ac:dyDescent="0.3">
      <c r="B9" s="4" t="s">
        <v>12</v>
      </c>
      <c r="C9" s="4" t="s">
        <v>15</v>
      </c>
      <c r="D9" s="4" t="s">
        <v>27</v>
      </c>
      <c r="E9" s="4" t="s">
        <v>59</v>
      </c>
      <c r="F9" s="4" t="s">
        <v>3</v>
      </c>
      <c r="G9" s="4" t="s">
        <v>60</v>
      </c>
      <c r="H9" s="4" t="s">
        <v>61</v>
      </c>
      <c r="I9" s="4" t="s">
        <v>56</v>
      </c>
      <c r="J9" s="4" t="s">
        <v>62</v>
      </c>
    </row>
    <row r="10" spans="2:10" x14ac:dyDescent="0.3">
      <c r="C10">
        <v>6</v>
      </c>
      <c r="D10" s="6" t="s">
        <v>100</v>
      </c>
    </row>
    <row r="11" spans="2:10" x14ac:dyDescent="0.3">
      <c r="D11" t="s">
        <v>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C9E74-977A-45BD-B477-B9C026559E82}">
  <sheetPr codeName="Sheet5"/>
  <dimension ref="B1:L26"/>
  <sheetViews>
    <sheetView workbookViewId="0">
      <selection activeCell="F11" sqref="F11"/>
    </sheetView>
  </sheetViews>
  <sheetFormatPr defaultRowHeight="14.4" x14ac:dyDescent="0.3"/>
  <cols>
    <col min="3" max="3" width="9.109375" style="2"/>
    <col min="4" max="4" width="14.5546875" bestFit="1" customWidth="1"/>
    <col min="5" max="5" width="11.109375" bestFit="1" customWidth="1"/>
    <col min="6" max="6" width="14" bestFit="1" customWidth="1"/>
    <col min="7" max="7" width="13.109375" bestFit="1" customWidth="1"/>
    <col min="9" max="9" width="13.88671875" bestFit="1" customWidth="1"/>
    <col min="10" max="10" width="16.33203125" bestFit="1" customWidth="1"/>
    <col min="12" max="12" width="6.44140625" bestFit="1" customWidth="1"/>
  </cols>
  <sheetData>
    <row r="1" spans="2:12" x14ac:dyDescent="0.3">
      <c r="C1"/>
    </row>
    <row r="2" spans="2:12" x14ac:dyDescent="0.3">
      <c r="C2"/>
    </row>
    <row r="3" spans="2:12" x14ac:dyDescent="0.3">
      <c r="C3"/>
    </row>
    <row r="4" spans="2:12" x14ac:dyDescent="0.3">
      <c r="C4"/>
    </row>
    <row r="5" spans="2:12" x14ac:dyDescent="0.3">
      <c r="C5"/>
    </row>
    <row r="6" spans="2:12" x14ac:dyDescent="0.3">
      <c r="C6"/>
    </row>
    <row r="7" spans="2:12" x14ac:dyDescent="0.3">
      <c r="C7"/>
    </row>
    <row r="8" spans="2:12" x14ac:dyDescent="0.3">
      <c r="B8" t="s">
        <v>23</v>
      </c>
      <c r="C8"/>
    </row>
    <row r="9" spans="2:12" x14ac:dyDescent="0.3">
      <c r="B9" s="4" t="s">
        <v>12</v>
      </c>
      <c r="C9" s="4" t="s">
        <v>15</v>
      </c>
      <c r="D9" s="4" t="s">
        <v>27</v>
      </c>
      <c r="E9" s="4" t="s">
        <v>28</v>
      </c>
      <c r="F9" s="4" t="s">
        <v>16</v>
      </c>
      <c r="G9" s="4" t="s">
        <v>57</v>
      </c>
      <c r="H9" s="4" t="s">
        <v>10</v>
      </c>
      <c r="I9" s="4" t="s">
        <v>55</v>
      </c>
      <c r="J9" s="4" t="s">
        <v>67</v>
      </c>
      <c r="K9" s="4" t="s">
        <v>62</v>
      </c>
      <c r="L9" s="4" t="s">
        <v>62</v>
      </c>
    </row>
    <row r="10" spans="2:12" x14ac:dyDescent="0.3">
      <c r="C10">
        <v>1</v>
      </c>
      <c r="D10" s="6" t="s">
        <v>29</v>
      </c>
    </row>
    <row r="11" spans="2:12" x14ac:dyDescent="0.3">
      <c r="C11"/>
      <c r="D11" t="s">
        <v>30</v>
      </c>
      <c r="E11" t="s">
        <v>54</v>
      </c>
    </row>
    <row r="12" spans="2:12" x14ac:dyDescent="0.3">
      <c r="C12"/>
      <c r="D12" t="s">
        <v>31</v>
      </c>
    </row>
    <row r="13" spans="2:12" x14ac:dyDescent="0.3">
      <c r="C13"/>
      <c r="D13" t="s">
        <v>32</v>
      </c>
    </row>
    <row r="14" spans="2:12" x14ac:dyDescent="0.3">
      <c r="C14"/>
      <c r="D14" t="s">
        <v>33</v>
      </c>
    </row>
    <row r="15" spans="2:12" x14ac:dyDescent="0.3">
      <c r="C15">
        <v>9</v>
      </c>
      <c r="D15" s="6" t="s">
        <v>36</v>
      </c>
    </row>
    <row r="16" spans="2:12" x14ac:dyDescent="0.3">
      <c r="C16"/>
      <c r="D16" t="s">
        <v>37</v>
      </c>
    </row>
    <row r="17" spans="3:4" x14ac:dyDescent="0.3">
      <c r="C17"/>
      <c r="D17" t="s">
        <v>38</v>
      </c>
    </row>
    <row r="18" spans="3:4" x14ac:dyDescent="0.3">
      <c r="C18"/>
      <c r="D18" t="s">
        <v>39</v>
      </c>
    </row>
    <row r="19" spans="3:4" x14ac:dyDescent="0.3">
      <c r="C19"/>
      <c r="D19" t="s">
        <v>40</v>
      </c>
    </row>
    <row r="20" spans="3:4" x14ac:dyDescent="0.3">
      <c r="C20"/>
      <c r="D20" t="s">
        <v>41</v>
      </c>
    </row>
    <row r="21" spans="3:4" x14ac:dyDescent="0.3">
      <c r="C21"/>
      <c r="D21" t="s">
        <v>42</v>
      </c>
    </row>
    <row r="22" spans="3:4" x14ac:dyDescent="0.3">
      <c r="C22"/>
      <c r="D22" t="s">
        <v>43</v>
      </c>
    </row>
    <row r="23" spans="3:4" x14ac:dyDescent="0.3">
      <c r="C23"/>
      <c r="D23" t="s">
        <v>44</v>
      </c>
    </row>
    <row r="24" spans="3:4" x14ac:dyDescent="0.3">
      <c r="C24"/>
    </row>
    <row r="25" spans="3:4" x14ac:dyDescent="0.3">
      <c r="C25"/>
    </row>
    <row r="26" spans="3:4" x14ac:dyDescent="0.3">
      <c r="C26"/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E5C6-1FFB-48FB-892B-1C3C783BF4EE}">
  <sheetPr codeName="Sheet6"/>
  <dimension ref="B8:K19"/>
  <sheetViews>
    <sheetView zoomScaleNormal="100" workbookViewId="0">
      <selection activeCell="J20" sqref="J20"/>
    </sheetView>
  </sheetViews>
  <sheetFormatPr defaultRowHeight="14.4" x14ac:dyDescent="0.3"/>
  <cols>
    <col min="3" max="3" width="5.5546875" bestFit="1" customWidth="1"/>
    <col min="4" max="4" width="11.44140625" bestFit="1" customWidth="1"/>
    <col min="5" max="5" width="16.5546875" bestFit="1" customWidth="1"/>
    <col min="6" max="6" width="14" bestFit="1" customWidth="1"/>
    <col min="7" max="7" width="13.109375" bestFit="1" customWidth="1"/>
    <col min="8" max="8" width="8.5546875" bestFit="1" customWidth="1"/>
    <col min="9" max="9" width="11.33203125" bestFit="1" customWidth="1"/>
    <col min="10" max="10" width="16.33203125" bestFit="1" customWidth="1"/>
  </cols>
  <sheetData>
    <row r="8" spans="2:11" x14ac:dyDescent="0.3">
      <c r="B8" t="s">
        <v>5</v>
      </c>
    </row>
    <row r="9" spans="2:11" x14ac:dyDescent="0.3">
      <c r="B9" s="4" t="s">
        <v>12</v>
      </c>
      <c r="C9" s="4" t="s">
        <v>15</v>
      </c>
      <c r="D9" s="4" t="s">
        <v>27</v>
      </c>
      <c r="E9" s="4" t="s">
        <v>58</v>
      </c>
      <c r="F9" s="4" t="s">
        <v>16</v>
      </c>
      <c r="G9" s="4" t="s">
        <v>57</v>
      </c>
      <c r="H9" s="4" t="s">
        <v>10</v>
      </c>
      <c r="I9" s="4" t="s">
        <v>55</v>
      </c>
      <c r="J9" s="4" t="s">
        <v>67</v>
      </c>
      <c r="K9" s="4" t="s">
        <v>62</v>
      </c>
    </row>
    <row r="10" spans="2:11" x14ac:dyDescent="0.3">
      <c r="C10">
        <v>1</v>
      </c>
      <c r="D10" s="6" t="s">
        <v>29</v>
      </c>
    </row>
    <row r="11" spans="2:11" x14ac:dyDescent="0.3">
      <c r="D11" t="s">
        <v>34</v>
      </c>
    </row>
    <row r="12" spans="2:11" x14ac:dyDescent="0.3">
      <c r="D12" t="s">
        <v>35</v>
      </c>
    </row>
    <row r="13" spans="2:11" x14ac:dyDescent="0.3">
      <c r="C13">
        <v>3</v>
      </c>
      <c r="D13" s="6" t="s">
        <v>45</v>
      </c>
    </row>
    <row r="14" spans="2:11" x14ac:dyDescent="0.3">
      <c r="D14" t="s">
        <v>46</v>
      </c>
    </row>
    <row r="15" spans="2:11" x14ac:dyDescent="0.3">
      <c r="D15" t="s">
        <v>47</v>
      </c>
    </row>
    <row r="16" spans="2:11" x14ac:dyDescent="0.3">
      <c r="D16" t="s">
        <v>48</v>
      </c>
    </row>
    <row r="17" spans="4:4" x14ac:dyDescent="0.3">
      <c r="D17" t="s">
        <v>49</v>
      </c>
    </row>
    <row r="18" spans="4:4" x14ac:dyDescent="0.3">
      <c r="D18" t="s">
        <v>50</v>
      </c>
    </row>
    <row r="19" spans="4:4" x14ac:dyDescent="0.3">
      <c r="D19" t="s">
        <v>51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3D3BB-6BFE-4C46-8ACD-C77595F23E7D}">
  <sheetPr codeName="Sheet7"/>
  <dimension ref="B8:K38"/>
  <sheetViews>
    <sheetView topLeftCell="A10" zoomScaleNormal="100" workbookViewId="0">
      <selection activeCell="D34" sqref="D34"/>
    </sheetView>
  </sheetViews>
  <sheetFormatPr defaultRowHeight="14.4" x14ac:dyDescent="0.3"/>
  <cols>
    <col min="2" max="2" width="10.5546875" bestFit="1" customWidth="1"/>
    <col min="3" max="3" width="5.5546875" bestFit="1" customWidth="1"/>
    <col min="4" max="4" width="11.44140625" bestFit="1" customWidth="1"/>
    <col min="5" max="5" width="13.88671875" bestFit="1" customWidth="1"/>
    <col min="6" max="6" width="14" bestFit="1" customWidth="1"/>
    <col min="7" max="7" width="13.109375" bestFit="1" customWidth="1"/>
    <col min="8" max="8" width="8.5546875" bestFit="1" customWidth="1"/>
    <col min="9" max="9" width="11.33203125" bestFit="1" customWidth="1"/>
    <col min="10" max="10" width="16.33203125" bestFit="1" customWidth="1"/>
  </cols>
  <sheetData>
    <row r="8" spans="2:11" x14ac:dyDescent="0.3">
      <c r="B8" t="s">
        <v>24</v>
      </c>
    </row>
    <row r="9" spans="2:11" x14ac:dyDescent="0.3">
      <c r="B9" s="4" t="s">
        <v>12</v>
      </c>
      <c r="C9" s="4" t="s">
        <v>15</v>
      </c>
      <c r="D9" s="4" t="s">
        <v>6</v>
      </c>
      <c r="E9" s="4" t="s">
        <v>18</v>
      </c>
      <c r="F9" s="4" t="s">
        <v>16</v>
      </c>
      <c r="G9" s="4" t="s">
        <v>57</v>
      </c>
      <c r="H9" s="4" t="s">
        <v>10</v>
      </c>
      <c r="I9" s="4" t="s">
        <v>55</v>
      </c>
      <c r="J9" s="4" t="s">
        <v>67</v>
      </c>
      <c r="K9" s="4" t="s">
        <v>62</v>
      </c>
    </row>
    <row r="10" spans="2:11" x14ac:dyDescent="0.3">
      <c r="C10">
        <v>1</v>
      </c>
      <c r="D10" s="6" t="s">
        <v>29</v>
      </c>
    </row>
    <row r="11" spans="2:11" x14ac:dyDescent="0.3">
      <c r="D11" t="s">
        <v>102</v>
      </c>
    </row>
    <row r="12" spans="2:11" x14ac:dyDescent="0.3">
      <c r="D12" t="s">
        <v>103</v>
      </c>
    </row>
    <row r="13" spans="2:11" x14ac:dyDescent="0.3">
      <c r="D13" t="s">
        <v>104</v>
      </c>
    </row>
    <row r="14" spans="2:11" x14ac:dyDescent="0.3">
      <c r="D14" t="s">
        <v>105</v>
      </c>
    </row>
    <row r="15" spans="2:11" x14ac:dyDescent="0.3">
      <c r="D15" t="s">
        <v>106</v>
      </c>
    </row>
    <row r="16" spans="2:11" x14ac:dyDescent="0.3">
      <c r="D16" t="s">
        <v>107</v>
      </c>
    </row>
    <row r="17" spans="3:4" x14ac:dyDescent="0.3">
      <c r="D17" t="s">
        <v>108</v>
      </c>
    </row>
    <row r="18" spans="3:4" x14ac:dyDescent="0.3">
      <c r="D18" t="s">
        <v>109</v>
      </c>
    </row>
    <row r="19" spans="3:4" x14ac:dyDescent="0.3">
      <c r="D19" t="s">
        <v>110</v>
      </c>
    </row>
    <row r="20" spans="3:4" x14ac:dyDescent="0.3">
      <c r="D20" t="s">
        <v>111</v>
      </c>
    </row>
    <row r="21" spans="3:4" x14ac:dyDescent="0.3">
      <c r="C21">
        <v>2</v>
      </c>
      <c r="D21" s="6" t="s">
        <v>92</v>
      </c>
    </row>
    <row r="22" spans="3:4" x14ac:dyDescent="0.3">
      <c r="D22" t="s">
        <v>112</v>
      </c>
    </row>
    <row r="23" spans="3:4" x14ac:dyDescent="0.3">
      <c r="D23" t="s">
        <v>113</v>
      </c>
    </row>
    <row r="24" spans="3:4" x14ac:dyDescent="0.3">
      <c r="D24" t="s">
        <v>114</v>
      </c>
    </row>
    <row r="25" spans="3:4" x14ac:dyDescent="0.3">
      <c r="D25" t="s">
        <v>115</v>
      </c>
    </row>
    <row r="26" spans="3:4" x14ac:dyDescent="0.3">
      <c r="D26" t="s">
        <v>116</v>
      </c>
    </row>
    <row r="27" spans="3:4" x14ac:dyDescent="0.3">
      <c r="C27">
        <v>3</v>
      </c>
      <c r="D27" s="6" t="s">
        <v>45</v>
      </c>
    </row>
    <row r="28" spans="3:4" x14ac:dyDescent="0.3">
      <c r="D28" t="s">
        <v>117</v>
      </c>
    </row>
    <row r="29" spans="3:4" x14ac:dyDescent="0.3">
      <c r="D29" t="s">
        <v>118</v>
      </c>
    </row>
    <row r="30" spans="3:4" x14ac:dyDescent="0.3">
      <c r="D30" t="s">
        <v>119</v>
      </c>
    </row>
    <row r="31" spans="3:4" x14ac:dyDescent="0.3">
      <c r="D31" t="s">
        <v>120</v>
      </c>
    </row>
    <row r="32" spans="3:4" x14ac:dyDescent="0.3">
      <c r="D32" t="s">
        <v>121</v>
      </c>
    </row>
    <row r="33" spans="3:4" x14ac:dyDescent="0.3">
      <c r="C33">
        <v>4</v>
      </c>
      <c r="D33" s="6" t="s">
        <v>122</v>
      </c>
    </row>
    <row r="34" spans="3:4" x14ac:dyDescent="0.3">
      <c r="D34" t="s">
        <v>123</v>
      </c>
    </row>
    <row r="35" spans="3:4" x14ac:dyDescent="0.3">
      <c r="D35" t="s">
        <v>124</v>
      </c>
    </row>
    <row r="36" spans="3:4" x14ac:dyDescent="0.3">
      <c r="D36" t="s">
        <v>125</v>
      </c>
    </row>
    <row r="37" spans="3:4" x14ac:dyDescent="0.3">
      <c r="D37" t="s">
        <v>126</v>
      </c>
    </row>
    <row r="38" spans="3:4" x14ac:dyDescent="0.3">
      <c r="D38" t="s">
        <v>127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DC97-7F9D-44A2-945E-460757F093CB}">
  <sheetPr codeName="Sheet10"/>
  <dimension ref="B1:I16"/>
  <sheetViews>
    <sheetView zoomScaleNormal="100" workbookViewId="0">
      <selection activeCell="E25" sqref="E25"/>
    </sheetView>
  </sheetViews>
  <sheetFormatPr defaultRowHeight="14.4" x14ac:dyDescent="0.3"/>
  <cols>
    <col min="2" max="2" width="10.5546875" bestFit="1" customWidth="1"/>
    <col min="3" max="3" width="5.5546875" bestFit="1" customWidth="1"/>
    <col min="4" max="4" width="14.5546875" bestFit="1" customWidth="1"/>
    <col min="5" max="5" width="19.33203125" bestFit="1" customWidth="1"/>
    <col min="6" max="6" width="14" bestFit="1" customWidth="1"/>
    <col min="7" max="7" width="6.88671875" bestFit="1" customWidth="1"/>
    <col min="8" max="8" width="15.88671875" bestFit="1" customWidth="1"/>
    <col min="9" max="9" width="13.88671875" style="5" bestFit="1" customWidth="1"/>
  </cols>
  <sheetData>
    <row r="1" spans="2:9" x14ac:dyDescent="0.3">
      <c r="I1"/>
    </row>
    <row r="2" spans="2:9" x14ac:dyDescent="0.3">
      <c r="I2"/>
    </row>
    <row r="3" spans="2:9" x14ac:dyDescent="0.3">
      <c r="I3"/>
    </row>
    <row r="4" spans="2:9" x14ac:dyDescent="0.3">
      <c r="I4"/>
    </row>
    <row r="5" spans="2:9" x14ac:dyDescent="0.3">
      <c r="I5"/>
    </row>
    <row r="6" spans="2:9" x14ac:dyDescent="0.3">
      <c r="I6"/>
    </row>
    <row r="7" spans="2:9" x14ac:dyDescent="0.3">
      <c r="I7"/>
    </row>
    <row r="8" spans="2:9" x14ac:dyDescent="0.3">
      <c r="B8" t="s">
        <v>25</v>
      </c>
      <c r="I8"/>
    </row>
    <row r="9" spans="2:9" x14ac:dyDescent="0.3">
      <c r="B9" s="4" t="s">
        <v>12</v>
      </c>
      <c r="C9" s="4" t="s">
        <v>15</v>
      </c>
      <c r="D9" s="4" t="s">
        <v>27</v>
      </c>
      <c r="E9" s="4" t="s">
        <v>63</v>
      </c>
      <c r="F9" s="4" t="s">
        <v>16</v>
      </c>
      <c r="G9" s="4" t="s">
        <v>64</v>
      </c>
      <c r="H9" s="4" t="s">
        <v>65</v>
      </c>
      <c r="I9" s="4" t="s">
        <v>62</v>
      </c>
    </row>
    <row r="10" spans="2:9" x14ac:dyDescent="0.3">
      <c r="C10">
        <v>1</v>
      </c>
      <c r="D10" s="6" t="s">
        <v>135</v>
      </c>
    </row>
    <row r="11" spans="2:9" x14ac:dyDescent="0.3">
      <c r="D11" t="s">
        <v>52</v>
      </c>
    </row>
    <row r="12" spans="2:9" x14ac:dyDescent="0.3">
      <c r="D12" t="s">
        <v>53</v>
      </c>
    </row>
    <row r="13" spans="2:9" x14ac:dyDescent="0.3">
      <c r="C13">
        <v>2</v>
      </c>
      <c r="D13" s="6" t="s">
        <v>136</v>
      </c>
    </row>
    <row r="14" spans="2:9" x14ac:dyDescent="0.3">
      <c r="D14" t="s">
        <v>137</v>
      </c>
    </row>
    <row r="15" spans="2:9" x14ac:dyDescent="0.3">
      <c r="D15" t="s">
        <v>138</v>
      </c>
    </row>
    <row r="16" spans="2:9" x14ac:dyDescent="0.3">
      <c r="D16" t="s">
        <v>139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8678A-B481-439B-A897-1F9807EEB339}">
  <sheetPr codeName="Sheet9"/>
  <dimension ref="B8:J15"/>
  <sheetViews>
    <sheetView workbookViewId="0">
      <selection activeCell="D10" sqref="D10"/>
    </sheetView>
  </sheetViews>
  <sheetFormatPr defaultRowHeight="14.4" x14ac:dyDescent="0.3"/>
  <cols>
    <col min="4" max="5" width="14.88671875" bestFit="1" customWidth="1"/>
    <col min="6" max="6" width="14" bestFit="1" customWidth="1"/>
    <col min="7" max="7" width="6.88671875" bestFit="1" customWidth="1"/>
    <col min="8" max="8" width="15.88671875" bestFit="1" customWidth="1"/>
    <col min="9" max="9" width="13.88671875" bestFit="1" customWidth="1"/>
  </cols>
  <sheetData>
    <row r="8" spans="2:10" x14ac:dyDescent="0.3">
      <c r="B8" t="s">
        <v>8</v>
      </c>
    </row>
    <row r="9" spans="2:10" x14ac:dyDescent="0.3">
      <c r="B9" s="4" t="s">
        <v>12</v>
      </c>
      <c r="C9" s="4" t="s">
        <v>15</v>
      </c>
      <c r="D9" s="4" t="s">
        <v>27</v>
      </c>
      <c r="E9" s="4" t="s">
        <v>134</v>
      </c>
      <c r="F9" s="4" t="s">
        <v>66</v>
      </c>
      <c r="G9" s="4" t="s">
        <v>16</v>
      </c>
      <c r="H9" s="4" t="s">
        <v>64</v>
      </c>
      <c r="I9" s="4" t="s">
        <v>65</v>
      </c>
      <c r="J9" s="4" t="s">
        <v>62</v>
      </c>
    </row>
    <row r="10" spans="2:10" x14ac:dyDescent="0.3">
      <c r="C10">
        <v>1</v>
      </c>
      <c r="D10" s="6" t="s">
        <v>29</v>
      </c>
    </row>
    <row r="11" spans="2:10" x14ac:dyDescent="0.3">
      <c r="D11" t="s">
        <v>129</v>
      </c>
    </row>
    <row r="12" spans="2:10" x14ac:dyDescent="0.3">
      <c r="D12" t="s">
        <v>130</v>
      </c>
    </row>
    <row r="13" spans="2:10" x14ac:dyDescent="0.3">
      <c r="D13" t="s">
        <v>131</v>
      </c>
    </row>
    <row r="14" spans="2:10" x14ac:dyDescent="0.3">
      <c r="D14" t="s">
        <v>132</v>
      </c>
    </row>
    <row r="15" spans="2:10" x14ac:dyDescent="0.3">
      <c r="D15" t="s">
        <v>133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AC5D-0D14-43E2-847F-9E3BD930C730}">
  <sheetPr codeName="Sheet8"/>
  <dimension ref="B8:J9"/>
  <sheetViews>
    <sheetView workbookViewId="0">
      <selection activeCell="H27" sqref="H27"/>
    </sheetView>
  </sheetViews>
  <sheetFormatPr defaultRowHeight="14.4" x14ac:dyDescent="0.3"/>
  <cols>
    <col min="3" max="3" width="5.5546875" bestFit="1" customWidth="1"/>
    <col min="4" max="4" width="16.109375" bestFit="1" customWidth="1"/>
    <col min="5" max="5" width="25.5546875" bestFit="1" customWidth="1"/>
    <col min="6" max="6" width="14" bestFit="1" customWidth="1"/>
    <col min="7" max="7" width="8.6640625" bestFit="1" customWidth="1"/>
    <col min="9" max="9" width="13.88671875" bestFit="1" customWidth="1"/>
  </cols>
  <sheetData>
    <row r="8" spans="2:10" x14ac:dyDescent="0.3">
      <c r="B8" t="s">
        <v>7</v>
      </c>
    </row>
    <row r="9" spans="2:10" x14ac:dyDescent="0.3">
      <c r="B9" s="4" t="s">
        <v>12</v>
      </c>
      <c r="C9" s="4" t="s">
        <v>15</v>
      </c>
      <c r="D9" s="4" t="s">
        <v>19</v>
      </c>
      <c r="E9" s="4" t="s">
        <v>20</v>
      </c>
      <c r="F9" s="4" t="s">
        <v>16</v>
      </c>
      <c r="G9" s="4" t="s">
        <v>13</v>
      </c>
      <c r="H9" s="4" t="s">
        <v>14</v>
      </c>
      <c r="I9" s="4" t="s">
        <v>17</v>
      </c>
      <c r="J9" s="4" t="s">
        <v>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&amp; Overview</vt:lpstr>
      <vt:lpstr>Firewall</vt:lpstr>
      <vt:lpstr>Telephone</vt:lpstr>
      <vt:lpstr>Bizbox</vt:lpstr>
      <vt:lpstr>Data</vt:lpstr>
      <vt:lpstr>CCTV</vt:lpstr>
      <vt:lpstr>Wifi</vt:lpstr>
      <vt:lpstr>Nurse Call</vt:lpstr>
      <vt:lpstr>CATV</vt:lpstr>
      <vt:lpstr>FDAS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Dhenmark Quiñonez</dc:creator>
  <cp:lastModifiedBy>User</cp:lastModifiedBy>
  <dcterms:created xsi:type="dcterms:W3CDTF">2025-05-14T00:52:23Z</dcterms:created>
  <dcterms:modified xsi:type="dcterms:W3CDTF">2025-05-27T15:26:56Z</dcterms:modified>
</cp:coreProperties>
</file>